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\Desktop\Proyecto intermodular\Ofimática\"/>
    </mc:Choice>
  </mc:AlternateContent>
  <xr:revisionPtr revIDLastSave="0" documentId="13_ncr:1_{7A2F68B1-0BA9-4096-B417-FAE39FC86434}" xr6:coauthVersionLast="47" xr6:coauthVersionMax="47" xr10:uidLastSave="{00000000-0000-0000-0000-000000000000}"/>
  <bookViews>
    <workbookView xWindow="-120" yWindow="-16320" windowWidth="29040" windowHeight="15720" xr2:uid="{6548D6B3-9CEF-48D9-924D-965CA7E8DC33}"/>
  </bookViews>
  <sheets>
    <sheet name="InventarioEquipos" sheetId="1" r:id="rId1"/>
    <sheet name="TablasResume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4" l="1"/>
  <c r="C24" i="4"/>
  <c r="C25" i="4"/>
  <c r="C23" i="4"/>
  <c r="C5" i="4"/>
  <c r="C4" i="4"/>
</calcChain>
</file>

<file path=xl/sharedStrings.xml><?xml version="1.0" encoding="utf-8"?>
<sst xmlns="http://schemas.openxmlformats.org/spreadsheetml/2006/main" count="143" uniqueCount="60">
  <si>
    <t>Ubicación</t>
  </si>
  <si>
    <t>Equipo</t>
  </si>
  <si>
    <t>Usuario</t>
  </si>
  <si>
    <t>Observaciones</t>
  </si>
  <si>
    <t>Sistema Operativo / Firmware</t>
  </si>
  <si>
    <t>Administrador</t>
  </si>
  <si>
    <t>Oficina Principal</t>
  </si>
  <si>
    <t>Windows 11 Pro</t>
  </si>
  <si>
    <t>Recepcionista</t>
  </si>
  <si>
    <t>Sala Exposición</t>
  </si>
  <si>
    <t>Switch 16p</t>
  </si>
  <si>
    <t>Sala Técnica</t>
  </si>
  <si>
    <t>Cisco IOS / Firmware</t>
  </si>
  <si>
    <t>Gestión de VLANs</t>
  </si>
  <si>
    <t>Punto de Acceso</t>
  </si>
  <si>
    <t>Firmware AP-600</t>
  </si>
  <si>
    <t>Protección Eléctrica</t>
  </si>
  <si>
    <t>PC oficina</t>
  </si>
  <si>
    <t>Ordenador portátil</t>
  </si>
  <si>
    <t>SAI</t>
  </si>
  <si>
    <t>Impresora</t>
  </si>
  <si>
    <t>Router</t>
  </si>
  <si>
    <t>Smartphone</t>
  </si>
  <si>
    <t>Clientes</t>
  </si>
  <si>
    <t>Administrador y Recepcionista</t>
  </si>
  <si>
    <t>Android</t>
  </si>
  <si>
    <t>Firmware ID1005</t>
  </si>
  <si>
    <t>Firmware Propietario</t>
  </si>
  <si>
    <t>i7-14700KF / 32GB RAM / DDR5</t>
  </si>
  <si>
    <t>i5 / 16GB RAM</t>
  </si>
  <si>
    <t>Pantalla</t>
  </si>
  <si>
    <t>4K</t>
  </si>
  <si>
    <t>WiFi 6 - Alta Velocidad</t>
  </si>
  <si>
    <t>Láser, Alta Eficiencia</t>
  </si>
  <si>
    <t>Puerta de enlace a internet y gestión de red local</t>
  </si>
  <si>
    <t>Terminal para transferencias rápidas vía LocalSend</t>
  </si>
  <si>
    <t>Estado</t>
  </si>
  <si>
    <t>Activo</t>
  </si>
  <si>
    <t>Mantenimiento</t>
  </si>
  <si>
    <t>Baja</t>
  </si>
  <si>
    <t>ID Equipo</t>
  </si>
  <si>
    <t>GAD-001</t>
  </si>
  <si>
    <t>GAD-002</t>
  </si>
  <si>
    <t>GAD-003</t>
  </si>
  <si>
    <t>GAD-004</t>
  </si>
  <si>
    <t>GAD-005</t>
  </si>
  <si>
    <t>GAD-006</t>
  </si>
  <si>
    <t>GAD-007</t>
  </si>
  <si>
    <t>GAD-008</t>
  </si>
  <si>
    <t>GAD-009</t>
  </si>
  <si>
    <t>GAD-010</t>
  </si>
  <si>
    <t>GAD-011</t>
  </si>
  <si>
    <t>GAD-012</t>
  </si>
  <si>
    <t>GAD-013</t>
  </si>
  <si>
    <t>GAD-014</t>
  </si>
  <si>
    <t>GAD-015</t>
  </si>
  <si>
    <t>GAD-016</t>
  </si>
  <si>
    <t>GAD-017</t>
  </si>
  <si>
    <t>GAD-018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</si>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</sst>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87C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2" xfId="0" applyFont="1" applyBorder="1"/>
    <xf numFmtId="0" fontId="0" fillId="0" borderId="1" xfId="0" applyFont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00587C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00587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587C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58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 Equipos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TablasResumen!$C$2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68-474B-B6F8-A309BC4971E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A68-474B-B6F8-A309BC4971ED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68-474B-B6F8-A309BC4971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TablasResumen!$B$3:$B$5</c:f>
              <c:strCache>
                <c:ptCount val="3"/>
                <c:pt idx="0">
                  <c:v>Activo</c:v>
                </c:pt>
                <c:pt idx="1">
                  <c:v>Mantenimiento</c:v>
                </c:pt>
                <c:pt idx="2">
                  <c:v>Baja</c:v>
                </c:pt>
              </c:strCache>
            </c:strRef>
          </c:cat>
          <c:val>
            <c:numRef>
              <c:f>TablasResumen!$C$3:$C$5</c:f>
              <c:numCache>
                <c:formatCode>General</c:formatCode>
                <c:ptCount val="3"/>
                <c:pt idx="0">
                  <c:v>12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8-474B-B6F8-A309BC497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589091963358279"/>
          <c:y val="0.35243000874890634"/>
          <c:w val="0.22950058272708596"/>
          <c:h val="0.39294036162146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Ubicación Equipos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TablasResumen!$C$22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TablasResumen!$B$23:$B$25</c:f>
              <c:strCache>
                <c:ptCount val="3"/>
                <c:pt idx="0">
                  <c:v>Oficina Principal</c:v>
                </c:pt>
                <c:pt idx="1">
                  <c:v>Sala Exposición</c:v>
                </c:pt>
                <c:pt idx="2">
                  <c:v>Sala Técnica</c:v>
                </c:pt>
              </c:strCache>
            </c:strRef>
          </c:cat>
          <c:val>
            <c:numRef>
              <c:f>TablasResumen!$C$23:$C$25</c:f>
              <c:numCache>
                <c:formatCode>General</c:formatCode>
                <c:ptCount val="3"/>
                <c:pt idx="0">
                  <c:v>2</c:v>
                </c:pt>
                <c:pt idx="1">
                  <c:v>12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8-446E-BA53-6FDF05036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9216448"/>
        <c:axId val="1109200128"/>
      </c:barChart>
      <c:catAx>
        <c:axId val="110921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9200128"/>
        <c:crosses val="autoZero"/>
        <c:auto val="1"/>
        <c:lblAlgn val="ctr"/>
        <c:lblOffset val="100"/>
        <c:noMultiLvlLbl val="0"/>
      </c:catAx>
      <c:valAx>
        <c:axId val="110920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921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0</xdr:row>
      <xdr:rowOff>174307</xdr:rowOff>
    </xdr:from>
    <xdr:to>
      <xdr:col>13</xdr:col>
      <xdr:colOff>581024</xdr:colOff>
      <xdr:row>16</xdr:row>
      <xdr:rowOff>21907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6CC39DA-97E0-5004-B7E1-FF272FB64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10477</xdr:colOff>
      <xdr:row>17</xdr:row>
      <xdr:rowOff>170497</xdr:rowOff>
    </xdr:from>
    <xdr:to>
      <xdr:col>13</xdr:col>
      <xdr:colOff>521017</xdr:colOff>
      <xdr:row>33</xdr:row>
      <xdr:rowOff>16192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FCDE28B-5D01-E8BE-28AB-FDB9EEDD0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3092E3-B05A-4924-8CCD-A584F955C01D}" name="InventarioEquipos" displayName="InventarioEquipos" ref="A1:G19" totalsRowShown="0" headerRowDxfId="22" dataDxfId="21" tableBorderDxfId="20">
  <autoFilter ref="A1:G19" xr:uid="{923092E3-B05A-4924-8CCD-A584F955C01D}"/>
  <tableColumns count="7">
    <tableColumn id="1" xr3:uid="{D857A390-64DC-43B2-8548-0819C9AC1950}" name="ID Equipo" dataDxfId="19"/>
    <tableColumn id="2" xr3:uid="{7D982F65-A3CD-4D16-8C27-982211A943F5}" name="Equipo" dataDxfId="18"/>
    <tableColumn id="3" xr3:uid="{A4D112E4-B52C-484E-8BCD-C4A2334A990A}" name="Usuario" dataDxfId="17"/>
    <tableColumn id="4" xr3:uid="{35C2A8D1-74C0-4C49-98CA-21AA5B25E7DC}" name="Ubicación" dataDxfId="16"/>
    <tableColumn id="5" xr3:uid="{D0E488D4-A546-40A4-9047-3D9E02A1AC15}" name="Sistema Operativo / Firmware" dataDxfId="15"/>
    <tableColumn id="6" xr3:uid="{59932E0C-933F-466F-9CE6-1C3A5FDB04F2}" name="Estado" dataDxfId="14"/>
    <tableColumn id="7" xr3:uid="{308E42C4-1C7A-4F0C-997D-BB592C7C5C96}" name="Observaciones" dataDxfId="1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6C247C-1787-4BA3-B32F-CD42FDF14FEC}" name="EstadoEquipo" displayName="EstadoEquipo" ref="B2:C5" totalsRowShown="0" headerRowDxfId="12" tableBorderDxfId="11">
  <autoFilter ref="B2:C5" xr:uid="{356C247C-1787-4BA3-B32F-CD42FDF14FEC}"/>
  <tableColumns count="2">
    <tableColumn id="1" xr3:uid="{16575D02-196D-4378-A180-9F67AC87C761}" name="Estado" dataDxfId="10"/>
    <tableColumn id="2" xr3:uid="{6961E9DB-B126-4786-B0BF-084A902784E6}" name="Cantidad" dataDxfId="9">
      <calculatedColumnFormula>COUNTIF(InventarioEquipos!$F$2:$F$19,B3)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51F15A-17BA-4604-AB07-414A6E3AD9D3}" name="UbicaciónEquipos" displayName="UbicaciónEquipos" ref="B22:C25" totalsRowShown="0" headerRowDxfId="8">
  <autoFilter ref="B22:C25" xr:uid="{D251F15A-17BA-4604-AB07-414A6E3AD9D3}"/>
  <tableColumns count="2">
    <tableColumn id="1" xr3:uid="{379F2D14-C62F-4F7D-8BA4-092833A940B2}" name="Ubicación"/>
    <tableColumn id="2" xr3:uid="{2F09FBD9-E785-470B-B148-30B2EC3FE009}" name="Cantidad" dataDxfId="7">
      <calculatedColumnFormula>COUNTIF(InventarioEquipos!$D$2:$D$19,B23)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F3B1-7A7E-4625-A7C2-1B12660AB1DF}">
  <sheetPr>
    <tabColor rgb="FF00587C"/>
  </sheetPr>
  <dimension ref="A1:G19"/>
  <sheetViews>
    <sheetView showGridLines="0" tabSelected="1" zoomScale="120" zoomScaleNormal="120" workbookViewId="0">
      <pane ySplit="1" topLeftCell="A2" activePane="bottomLeft" state="frozen"/>
      <selection pane="bottomLeft" activeCell="G11" sqref="G11"/>
    </sheetView>
  </sheetViews>
  <sheetFormatPr baseColWidth="10" defaultRowHeight="14.4" x14ac:dyDescent="0.3"/>
  <cols>
    <col min="1" max="1" width="21.109375" customWidth="1"/>
    <col min="2" max="3" width="26.5546875" bestFit="1" customWidth="1"/>
    <col min="4" max="4" width="17.109375" customWidth="1"/>
    <col min="5" max="5" width="28.21875" customWidth="1"/>
    <col min="6" max="6" width="13.5546875" bestFit="1" customWidth="1"/>
    <col min="7" max="7" width="62.88671875" customWidth="1"/>
  </cols>
  <sheetData>
    <row r="1" spans="1:7" s="2" customFormat="1" ht="35.4" customHeight="1" x14ac:dyDescent="0.3">
      <c r="A1" s="7" t="s">
        <v>40</v>
      </c>
      <c r="B1" s="7" t="s">
        <v>1</v>
      </c>
      <c r="C1" s="7" t="s">
        <v>2</v>
      </c>
      <c r="D1" s="7" t="s">
        <v>0</v>
      </c>
      <c r="E1" s="7" t="s">
        <v>4</v>
      </c>
      <c r="F1" s="7" t="s">
        <v>36</v>
      </c>
      <c r="G1" s="7" t="s">
        <v>3</v>
      </c>
    </row>
    <row r="2" spans="1:7" x14ac:dyDescent="0.3">
      <c r="A2" s="6" t="s">
        <v>41</v>
      </c>
      <c r="B2" s="6" t="s">
        <v>17</v>
      </c>
      <c r="C2" s="6" t="s">
        <v>5</v>
      </c>
      <c r="D2" s="6" t="s">
        <v>6</v>
      </c>
      <c r="E2" s="6" t="s">
        <v>7</v>
      </c>
      <c r="F2" s="6" t="s">
        <v>37</v>
      </c>
      <c r="G2" s="6" t="s">
        <v>28</v>
      </c>
    </row>
    <row r="3" spans="1:7" x14ac:dyDescent="0.3">
      <c r="A3" s="6" t="s">
        <v>42</v>
      </c>
      <c r="B3" s="6" t="s">
        <v>18</v>
      </c>
      <c r="C3" s="6" t="s">
        <v>8</v>
      </c>
      <c r="D3" s="6" t="s">
        <v>9</v>
      </c>
      <c r="E3" s="6" t="s">
        <v>7</v>
      </c>
      <c r="F3" s="6" t="s">
        <v>37</v>
      </c>
      <c r="G3" s="6" t="s">
        <v>29</v>
      </c>
    </row>
    <row r="4" spans="1:7" x14ac:dyDescent="0.3">
      <c r="A4" s="6" t="s">
        <v>43</v>
      </c>
      <c r="B4" s="6" t="s">
        <v>30</v>
      </c>
      <c r="C4" s="6" t="s">
        <v>23</v>
      </c>
      <c r="D4" s="6" t="s">
        <v>9</v>
      </c>
      <c r="E4" s="6" t="s">
        <v>25</v>
      </c>
      <c r="F4" s="6" t="s">
        <v>38</v>
      </c>
      <c r="G4" s="6" t="s">
        <v>31</v>
      </c>
    </row>
    <row r="5" spans="1:7" x14ac:dyDescent="0.3">
      <c r="A5" s="6" t="s">
        <v>44</v>
      </c>
      <c r="B5" s="6" t="s">
        <v>30</v>
      </c>
      <c r="C5" s="6" t="s">
        <v>23</v>
      </c>
      <c r="D5" s="6" t="s">
        <v>9</v>
      </c>
      <c r="E5" s="6" t="s">
        <v>25</v>
      </c>
      <c r="F5" s="6" t="s">
        <v>38</v>
      </c>
      <c r="G5" s="6" t="s">
        <v>31</v>
      </c>
    </row>
    <row r="6" spans="1:7" x14ac:dyDescent="0.3">
      <c r="A6" s="6" t="s">
        <v>45</v>
      </c>
      <c r="B6" s="6" t="s">
        <v>30</v>
      </c>
      <c r="C6" s="6" t="s">
        <v>23</v>
      </c>
      <c r="D6" s="6" t="s">
        <v>9</v>
      </c>
      <c r="E6" s="6" t="s">
        <v>25</v>
      </c>
      <c r="F6" s="6" t="s">
        <v>37</v>
      </c>
      <c r="G6" s="6" t="s">
        <v>31</v>
      </c>
    </row>
    <row r="7" spans="1:7" x14ac:dyDescent="0.3">
      <c r="A7" s="6" t="s">
        <v>46</v>
      </c>
      <c r="B7" s="6" t="s">
        <v>30</v>
      </c>
      <c r="C7" s="6" t="s">
        <v>23</v>
      </c>
      <c r="D7" s="6" t="s">
        <v>9</v>
      </c>
      <c r="E7" s="6" t="s">
        <v>25</v>
      </c>
      <c r="F7" s="6" t="s">
        <v>37</v>
      </c>
      <c r="G7" s="6" t="s">
        <v>31</v>
      </c>
    </row>
    <row r="8" spans="1:7" x14ac:dyDescent="0.3">
      <c r="A8" s="6" t="s">
        <v>47</v>
      </c>
      <c r="B8" s="6" t="s">
        <v>30</v>
      </c>
      <c r="C8" s="6" t="s">
        <v>23</v>
      </c>
      <c r="D8" s="6" t="s">
        <v>9</v>
      </c>
      <c r="E8" s="6" t="s">
        <v>25</v>
      </c>
      <c r="F8" s="6" t="s">
        <v>39</v>
      </c>
      <c r="G8" s="6" t="s">
        <v>31</v>
      </c>
    </row>
    <row r="9" spans="1:7" x14ac:dyDescent="0.3">
      <c r="A9" s="6" t="s">
        <v>48</v>
      </c>
      <c r="B9" s="6" t="s">
        <v>30</v>
      </c>
      <c r="C9" s="6" t="s">
        <v>23</v>
      </c>
      <c r="D9" s="6" t="s">
        <v>9</v>
      </c>
      <c r="E9" s="6" t="s">
        <v>25</v>
      </c>
      <c r="F9" s="6" t="s">
        <v>38</v>
      </c>
      <c r="G9" s="6" t="s">
        <v>31</v>
      </c>
    </row>
    <row r="10" spans="1:7" x14ac:dyDescent="0.3">
      <c r="A10" s="6" t="s">
        <v>49</v>
      </c>
      <c r="B10" s="6" t="s">
        <v>30</v>
      </c>
      <c r="C10" s="6" t="s">
        <v>23</v>
      </c>
      <c r="D10" s="6" t="s">
        <v>9</v>
      </c>
      <c r="E10" s="6" t="s">
        <v>25</v>
      </c>
      <c r="F10" s="6" t="s">
        <v>37</v>
      </c>
      <c r="G10" s="6" t="s">
        <v>31</v>
      </c>
    </row>
    <row r="11" spans="1:7" x14ac:dyDescent="0.3">
      <c r="A11" s="6" t="s">
        <v>50</v>
      </c>
      <c r="B11" s="6" t="s">
        <v>30</v>
      </c>
      <c r="C11" s="6" t="s">
        <v>23</v>
      </c>
      <c r="D11" s="6" t="s">
        <v>9</v>
      </c>
      <c r="E11" s="6" t="s">
        <v>25</v>
      </c>
      <c r="F11" s="6" t="s">
        <v>37</v>
      </c>
      <c r="G11" s="6" t="s">
        <v>31</v>
      </c>
    </row>
    <row r="12" spans="1:7" x14ac:dyDescent="0.3">
      <c r="A12" s="6" t="s">
        <v>51</v>
      </c>
      <c r="B12" s="6" t="s">
        <v>10</v>
      </c>
      <c r="C12" s="6" t="s">
        <v>5</v>
      </c>
      <c r="D12" s="6" t="s">
        <v>11</v>
      </c>
      <c r="E12" s="6" t="s">
        <v>12</v>
      </c>
      <c r="F12" s="6" t="s">
        <v>37</v>
      </c>
      <c r="G12" s="6" t="s">
        <v>13</v>
      </c>
    </row>
    <row r="13" spans="1:7" x14ac:dyDescent="0.3">
      <c r="A13" s="6" t="s">
        <v>52</v>
      </c>
      <c r="B13" s="6" t="s">
        <v>14</v>
      </c>
      <c r="C13" s="6" t="s">
        <v>5</v>
      </c>
      <c r="D13" s="6" t="s">
        <v>11</v>
      </c>
      <c r="E13" s="6" t="s">
        <v>15</v>
      </c>
      <c r="F13" s="6" t="s">
        <v>37</v>
      </c>
      <c r="G13" s="6" t="s">
        <v>32</v>
      </c>
    </row>
    <row r="14" spans="1:7" x14ac:dyDescent="0.3">
      <c r="A14" s="6" t="s">
        <v>53</v>
      </c>
      <c r="B14" s="6" t="s">
        <v>19</v>
      </c>
      <c r="C14" s="6" t="s">
        <v>5</v>
      </c>
      <c r="D14" s="6" t="s">
        <v>11</v>
      </c>
      <c r="E14" s="6" t="s">
        <v>26</v>
      </c>
      <c r="F14" s="6" t="s">
        <v>38</v>
      </c>
      <c r="G14" s="6" t="s">
        <v>16</v>
      </c>
    </row>
    <row r="15" spans="1:7" x14ac:dyDescent="0.3">
      <c r="A15" s="6" t="s">
        <v>54</v>
      </c>
      <c r="B15" s="6" t="s">
        <v>20</v>
      </c>
      <c r="C15" s="6" t="s">
        <v>24</v>
      </c>
      <c r="D15" s="6" t="s">
        <v>6</v>
      </c>
      <c r="E15" s="6" t="s">
        <v>27</v>
      </c>
      <c r="F15" s="6" t="s">
        <v>37</v>
      </c>
      <c r="G15" s="6" t="s">
        <v>33</v>
      </c>
    </row>
    <row r="16" spans="1:7" x14ac:dyDescent="0.3">
      <c r="A16" s="6" t="s">
        <v>55</v>
      </c>
      <c r="B16" s="6" t="s">
        <v>21</v>
      </c>
      <c r="C16" s="6" t="s">
        <v>5</v>
      </c>
      <c r="D16" s="6" t="s">
        <v>11</v>
      </c>
      <c r="E16" s="6" t="s">
        <v>12</v>
      </c>
      <c r="F16" s="6" t="s">
        <v>37</v>
      </c>
      <c r="G16" s="6" t="s">
        <v>34</v>
      </c>
    </row>
    <row r="17" spans="1:7" x14ac:dyDescent="0.3">
      <c r="A17" s="6" t="s">
        <v>56</v>
      </c>
      <c r="B17" s="6" t="s">
        <v>22</v>
      </c>
      <c r="C17" s="6" t="s">
        <v>8</v>
      </c>
      <c r="D17" s="6" t="s">
        <v>9</v>
      </c>
      <c r="E17" s="6" t="s">
        <v>25</v>
      </c>
      <c r="F17" s="6" t="s">
        <v>39</v>
      </c>
      <c r="G17" s="6" t="s">
        <v>35</v>
      </c>
    </row>
    <row r="18" spans="1:7" x14ac:dyDescent="0.3">
      <c r="A18" s="6" t="s">
        <v>57</v>
      </c>
      <c r="B18" s="6" t="s">
        <v>30</v>
      </c>
      <c r="C18" s="6" t="s">
        <v>23</v>
      </c>
      <c r="D18" s="6" t="s">
        <v>9</v>
      </c>
      <c r="E18" s="6" t="s">
        <v>25</v>
      </c>
      <c r="F18" s="6" t="s">
        <v>37</v>
      </c>
      <c r="G18" s="6" t="s">
        <v>31</v>
      </c>
    </row>
    <row r="19" spans="1:7" x14ac:dyDescent="0.3">
      <c r="A19" s="6" t="s">
        <v>58</v>
      </c>
      <c r="B19" s="6" t="s">
        <v>22</v>
      </c>
      <c r="C19" s="6" t="s">
        <v>8</v>
      </c>
      <c r="D19" s="6" t="s">
        <v>9</v>
      </c>
      <c r="E19" s="6" t="s">
        <v>25</v>
      </c>
      <c r="F19" s="6" t="s">
        <v>37</v>
      </c>
      <c r="G19" s="6" t="s">
        <v>35</v>
      </c>
    </row>
  </sheetData>
  <phoneticPr fontId="2" type="noConversion"/>
  <conditionalFormatting sqref="A2:A19">
    <cfRule type="expression" dxfId="6" priority="1">
      <formula>F2="Baja"</formula>
    </cfRule>
    <cfRule type="expression" dxfId="5" priority="2">
      <formula>F2="Mantenimiento"</formula>
    </cfRule>
    <cfRule type="expression" dxfId="4" priority="3">
      <formula>F2="Activo"</formula>
    </cfRule>
    <cfRule type="expression" dxfId="3" priority="4">
      <formula>"SI($F$2=""Activo"")"</formula>
    </cfRule>
  </conditionalFormatting>
  <conditionalFormatting sqref="F2:F19">
    <cfRule type="containsText" dxfId="2" priority="6" operator="containsText" text="Baja">
      <formula>NOT(ISERROR(SEARCH("Baja",F2)))</formula>
    </cfRule>
    <cfRule type="containsText" dxfId="1" priority="7" operator="containsText" text="Mantenimiento">
      <formula>NOT(ISERROR(SEARCH("Mantenimiento",F2)))</formula>
    </cfRule>
    <cfRule type="containsText" dxfId="0" priority="8" operator="containsText" text="Activo">
      <formula>NOT(ISERROR(SEARCH("Activo",F2)))</formula>
    </cfRule>
  </conditionalFormatting>
  <dataValidations count="3">
    <dataValidation type="list" allowBlank="1" showInputMessage="1" showErrorMessage="1" errorTitle="Error" error="Debes seleccionar usuario" prompt="Debes seleccionar usuario" sqref="C2:C19" xr:uid="{89788ACE-9D96-49F5-903E-045919E31192}">
      <formula1>"Administrador,Recepcionista,Clientes,Administrador y Recepcionista"</formula1>
    </dataValidation>
    <dataValidation type="list" allowBlank="1" showInputMessage="1" showErrorMessage="1" errorTitle="Error" error="Debes seleccionar ubicación" prompt="Debes seleccionar ubicación" sqref="D2:D19" xr:uid="{3F48745B-4C54-4279-B5B3-876A6E224EDC}">
      <formula1>"Oficina Principal,Sala Exposición,Sala Técnica"</formula1>
    </dataValidation>
    <dataValidation type="list" allowBlank="1" showInputMessage="1" showErrorMessage="1" errorTitle="Error" error="Debes seleccionar estado" prompt="Debes seleccionar estado" sqref="F2:F19" xr:uid="{C35225B1-FA9C-4D53-AD72-3F131C4043F1}">
      <formula1>"Activo,Mantenimiento,Baja"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6A2C-E6A7-4603-A506-9662F096275C}">
  <sheetPr>
    <tabColor theme="0" tint="-0.499984740745262"/>
  </sheetPr>
  <dimension ref="A2:E25"/>
  <sheetViews>
    <sheetView showGridLines="0" workbookViewId="0">
      <selection activeCell="H60" sqref="H60"/>
    </sheetView>
  </sheetViews>
  <sheetFormatPr baseColWidth="10" defaultRowHeight="14.4" outlineLevelCol="1" x14ac:dyDescent="0.3"/>
  <cols>
    <col min="1" max="1" width="11.5546875" outlineLevel="1"/>
    <col min="2" max="2" width="16.77734375" bestFit="1" customWidth="1" outlineLevel="1"/>
    <col min="3" max="3" width="10.88671875" customWidth="1" outlineLevel="1"/>
    <col min="4" max="4" width="8.44140625" bestFit="1" customWidth="1" outlineLevel="1"/>
    <col min="5" max="5" width="8.44140625" customWidth="1" outlineLevel="1"/>
    <col min="6" max="16" width="8.44140625" bestFit="1" customWidth="1"/>
    <col min="17" max="17" width="12.21875" bestFit="1" customWidth="1"/>
  </cols>
  <sheetData>
    <row r="2" spans="2:3" x14ac:dyDescent="0.3">
      <c r="B2" s="1" t="s">
        <v>36</v>
      </c>
      <c r="C2" s="1" t="s">
        <v>59</v>
      </c>
    </row>
    <row r="3" spans="2:3" x14ac:dyDescent="0.3">
      <c r="B3" s="3" t="s">
        <v>37</v>
      </c>
      <c r="C3" s="3">
        <f>COUNTIF(InventarioEquipos!$F$2:$F$19,B3)</f>
        <v>12</v>
      </c>
    </row>
    <row r="4" spans="2:3" x14ac:dyDescent="0.3">
      <c r="B4" s="3" t="s">
        <v>38</v>
      </c>
      <c r="C4" s="3">
        <f>COUNTIF(InventarioEquipos!$F$2:$F$19,B4)</f>
        <v>4</v>
      </c>
    </row>
    <row r="5" spans="2:3" x14ac:dyDescent="0.3">
      <c r="B5" s="4" t="s">
        <v>39</v>
      </c>
      <c r="C5" s="4">
        <f>COUNTIF(InventarioEquipos!$F$2:$F$19,B5)</f>
        <v>2</v>
      </c>
    </row>
    <row r="22" spans="2:3" x14ac:dyDescent="0.3">
      <c r="B22" s="1" t="s">
        <v>0</v>
      </c>
      <c r="C22" s="1" t="s">
        <v>59</v>
      </c>
    </row>
    <row r="23" spans="2:3" x14ac:dyDescent="0.3">
      <c r="B23" t="s">
        <v>6</v>
      </c>
      <c r="C23" s="5">
        <f>COUNTIF(InventarioEquipos!$D$2:$D$19,B23)</f>
        <v>2</v>
      </c>
    </row>
    <row r="24" spans="2:3" x14ac:dyDescent="0.3">
      <c r="B24" t="s">
        <v>9</v>
      </c>
      <c r="C24" s="5">
        <f>COUNTIF(InventarioEquipos!$D$2:$D$19,B24)</f>
        <v>12</v>
      </c>
    </row>
    <row r="25" spans="2:3" x14ac:dyDescent="0.3">
      <c r="B25" t="s">
        <v>11</v>
      </c>
      <c r="C25" s="5">
        <f>COUNTIF(InventarioEquipos!$D$2:$D$19,B25)</f>
        <v>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71C5B5-6FE7-4BE5-8DDB-8C95E827FC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InventarioEquipos</vt:lpstr>
      <vt:lpstr>TablasResumen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rey</dc:creator>
  <cp:lastModifiedBy>juan rey</cp:lastModifiedBy>
  <dcterms:created xsi:type="dcterms:W3CDTF">2026-05-01T13:21:31Z</dcterms:created>
  <dcterms:modified xsi:type="dcterms:W3CDTF">2026-05-01T16:22:42Z</dcterms:modified>
</cp:coreProperties>
</file>