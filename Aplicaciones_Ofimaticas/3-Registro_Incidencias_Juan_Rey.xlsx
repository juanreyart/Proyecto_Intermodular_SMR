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\Desktop\Proyecto intermodular\Ofimática\"/>
    </mc:Choice>
  </mc:AlternateContent>
  <xr:revisionPtr revIDLastSave="0" documentId="13_ncr:1_{910C248A-7624-4E86-A880-E041B78C5028}" xr6:coauthVersionLast="47" xr6:coauthVersionMax="47" xr10:uidLastSave="{00000000-0000-0000-0000-000000000000}"/>
  <bookViews>
    <workbookView xWindow="-120" yWindow="-16320" windowWidth="29040" windowHeight="15720" xr2:uid="{6548D6B3-9CEF-48D9-924D-965CA7E8DC33}"/>
  </bookViews>
  <sheets>
    <sheet name="RegistroIncidencias" sheetId="1" r:id="rId1"/>
    <sheet name="TablasResume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4" l="1"/>
  <c r="C24" i="4"/>
  <c r="C25" i="4"/>
  <c r="C3" i="4"/>
  <c r="C4" i="4"/>
  <c r="C5" i="4"/>
  <c r="C2" i="1"/>
  <c r="C3" i="1"/>
  <c r="C4" i="1"/>
  <c r="C5" i="1"/>
  <c r="C6" i="1"/>
  <c r="C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</author>
  </authors>
  <commentList>
    <comment ref="C1" authorId="0" shapeId="0" xr:uid="{5F9F7C7B-AAB0-46F0-BDB7-1CEC686E68F2}">
      <text>
        <r>
          <rPr>
            <b/>
            <sz val="9"/>
            <color indexed="81"/>
            <rFont val="Tahoma"/>
            <family val="2"/>
          </rPr>
          <t>Juan Rey:</t>
        </r>
        <r>
          <rPr>
            <sz val="9"/>
            <color indexed="81"/>
            <rFont val="Tahoma"/>
            <family val="2"/>
          </rPr>
          <t xml:space="preserve">
El campo ID Ticket se cubre automáticamente</t>
        </r>
      </text>
    </comment>
  </commentList>
</comments>
</file>

<file path=xl/sharedStrings.xml><?xml version="1.0" encoding="utf-8"?>
<sst xmlns="http://schemas.openxmlformats.org/spreadsheetml/2006/main" count="57" uniqueCount="33">
  <si>
    <t>Equipo</t>
  </si>
  <si>
    <t>SAI</t>
  </si>
  <si>
    <t>Smartphone</t>
  </si>
  <si>
    <t>Pantalla</t>
  </si>
  <si>
    <t>Estado</t>
  </si>
  <si>
    <t>Baja</t>
  </si>
  <si>
    <t>ID Equipo</t>
  </si>
  <si>
    <t>GAD-003</t>
  </si>
  <si>
    <t>GAD-004</t>
  </si>
  <si>
    <t>GAD-007</t>
  </si>
  <si>
    <t>GAD-008</t>
  </si>
  <si>
    <t>GAD-013</t>
  </si>
  <si>
    <t>GAD-016</t>
  </si>
  <si>
    <t>Cantidad</t>
  </si>
  <si>
    <t>Técnico</t>
  </si>
  <si>
    <t>ID Ticket</t>
  </si>
  <si>
    <t>Incidencia</t>
  </si>
  <si>
    <t>Prioridad</t>
  </si>
  <si>
    <t>Solución Aplicada</t>
  </si>
  <si>
    <t>Pendiente</t>
  </si>
  <si>
    <t>Cerrado</t>
  </si>
  <si>
    <t>En Proceso</t>
  </si>
  <si>
    <t>Media</t>
  </si>
  <si>
    <t>Alta</t>
  </si>
  <si>
    <t>Jorge Emperador</t>
  </si>
  <si>
    <t>Rocío Ro</t>
  </si>
  <si>
    <t>Baja del activo</t>
  </si>
  <si>
    <t>Fecha Incidencia</t>
  </si>
  <si>
    <t>Falla puerto HDMi</t>
  </si>
  <si>
    <t>No enciende</t>
  </si>
  <si>
    <t xml:space="preserve">Rotura pantalla </t>
  </si>
  <si>
    <t>No funciona el sonido</t>
  </si>
  <si>
    <t>Falla una batería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</si>
</sst>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587C"/>
        <bgColor indexed="64"/>
      </patternFill>
    </fill>
    <fill>
      <patternFill patternType="solid">
        <fgColor rgb="FFCDF1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2" xfId="0" applyFont="1" applyBorder="1"/>
    <xf numFmtId="0" fontId="0" fillId="0" borderId="1" xfId="0" applyFont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4" fontId="0" fillId="0" borderId="0" xfId="0" applyNumberFormat="1"/>
    <xf numFmtId="0" fontId="4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0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CDF1FF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587C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587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00587C"/>
        </patternFill>
      </fill>
    </dxf>
  </dxfs>
  <tableStyles count="0" defaultTableStyle="TableStyleMedium2" defaultPivotStyle="PivotStyleLight16"/>
  <colors>
    <mruColors>
      <color rgb="FFCDF1FF"/>
      <color rgb="FF0058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Prioridad Incidencias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TablasResumen!$C$2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68-474B-B6F8-A309BC4971E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68-474B-B6F8-A309BC4971ED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68-474B-B6F8-A309BC4971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TablasResumen!$B$3:$B$5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TablasResumen!$C$3:$C$5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8-474B-B6F8-A309BC497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589091963358279"/>
          <c:y val="0.35243000874890634"/>
          <c:w val="0.22950058272708596"/>
          <c:h val="0.3929403616214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</a:t>
            </a:r>
            <a:r>
              <a:rPr lang="en-US" baseline="0"/>
              <a:t> Incidencias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TablasResumen!$C$22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TablasResumen!$B$23:$B$25</c:f>
              <c:strCache>
                <c:ptCount val="3"/>
                <c:pt idx="0">
                  <c:v>Pendiente</c:v>
                </c:pt>
                <c:pt idx="1">
                  <c:v>En Proceso</c:v>
                </c:pt>
                <c:pt idx="2">
                  <c:v>Cerrado</c:v>
                </c:pt>
              </c:strCache>
            </c:strRef>
          </c:cat>
          <c:val>
            <c:numRef>
              <c:f>TablasResumen!$C$23:$C$25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8-446E-BA53-6FDF05036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9216448"/>
        <c:axId val="1109200128"/>
      </c:barChart>
      <c:catAx>
        <c:axId val="110921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9200128"/>
        <c:crosses val="autoZero"/>
        <c:auto val="1"/>
        <c:lblAlgn val="ctr"/>
        <c:lblOffset val="100"/>
        <c:noMultiLvlLbl val="0"/>
      </c:catAx>
      <c:valAx>
        <c:axId val="110920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921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0</xdr:row>
      <xdr:rowOff>174307</xdr:rowOff>
    </xdr:from>
    <xdr:to>
      <xdr:col>13</xdr:col>
      <xdr:colOff>581024</xdr:colOff>
      <xdr:row>16</xdr:row>
      <xdr:rowOff>21907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6CC39DA-97E0-5004-B7E1-FF272FB64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10477</xdr:colOff>
      <xdr:row>17</xdr:row>
      <xdr:rowOff>170497</xdr:rowOff>
    </xdr:from>
    <xdr:to>
      <xdr:col>13</xdr:col>
      <xdr:colOff>521017</xdr:colOff>
      <xdr:row>33</xdr:row>
      <xdr:rowOff>16192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FCDE28B-5D01-E8BE-28AB-FDB9EEDD0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3092E3-B05A-4924-8CCD-A584F955C01D}" name="RegistroIncidencias" displayName="RegistroIncidencias" ref="A1:I7" totalsRowShown="0" headerRowDxfId="54" dataDxfId="53" tableBorderDxfId="52">
  <autoFilter ref="A1:I7" xr:uid="{923092E3-B05A-4924-8CCD-A584F955C01D}"/>
  <tableColumns count="9">
    <tableColumn id="8" xr3:uid="{447CD365-4AF9-49CD-8656-6633C321DE26}" name="Fecha Incidencia" dataDxfId="43"/>
    <tableColumn id="1" xr3:uid="{D857A390-64DC-43B2-8548-0819C9AC1950}" name="ID Equipo" dataDxfId="44"/>
    <tableColumn id="11" xr3:uid="{5B654152-9FED-4125-9E30-60695D2236D2}" name="ID Ticket" dataDxfId="51">
      <calculatedColumnFormula>YEAR(RegistroIncidencias[[#This Row],[Fecha Incidencia]])&amp;MONTH(RegistroIncidencias[[#This Row],[Fecha Incidencia]])&amp;DAY(RegistroIncidencias[[#This Row],[Fecha Incidencia]])&amp;RegistroIncidencias[[#This Row],[ID Equipo]]</calculatedColumnFormula>
    </tableColumn>
    <tableColumn id="2" xr3:uid="{7D982F65-A3CD-4D16-8C27-982211A943F5}" name="Equipo" dataDxfId="50"/>
    <tableColumn id="3" xr3:uid="{A4D112E4-B52C-484E-8BCD-C4A2334A990A}" name="Incidencia" dataDxfId="49"/>
    <tableColumn id="10" xr3:uid="{9D4B8C61-07C8-44D4-9661-B9CFCEE743F9}" name="Prioridad" dataDxfId="48"/>
    <tableColumn id="5" xr3:uid="{D0E488D4-A546-40A4-9047-3D9E02A1AC15}" name="Técnico" dataDxfId="47"/>
    <tableColumn id="6" xr3:uid="{59932E0C-933F-466F-9CE6-1C3A5FDB04F2}" name="Estado" dataDxfId="46"/>
    <tableColumn id="7" xr3:uid="{308E42C4-1C7A-4F0C-997D-BB592C7C5C96}" name="Solución Aplicada" dataDxfId="4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6C247C-1787-4BA3-B32F-CD42FDF14FEC}" name="PrioridadIncidencia" displayName="PrioridadIncidencia" ref="B2:C5" totalsRowShown="0" headerRowDxfId="58" tableBorderDxfId="57">
  <autoFilter ref="B2:C5" xr:uid="{356C247C-1787-4BA3-B32F-CD42FDF14FEC}"/>
  <tableColumns count="2">
    <tableColumn id="1" xr3:uid="{16575D02-196D-4378-A180-9F67AC87C761}" name="Prioridad" dataDxfId="56"/>
    <tableColumn id="2" xr3:uid="{6961E9DB-B126-4786-B0BF-084A902784E6}" name="Cantidad" dataDxfId="1">
      <calculatedColumnFormula>COUNTIF(RegistroIncidencias[[#All],[Prioridad]],PrioridadIncidencia[[#This Row],[Prioridad]])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51F15A-17BA-4604-AB07-414A6E3AD9D3}" name="EstadoIncidencias" displayName="EstadoIncidencias" ref="B22:C25" totalsRowShown="0" headerRowDxfId="55">
  <autoFilter ref="B22:C25" xr:uid="{D251F15A-17BA-4604-AB07-414A6E3AD9D3}"/>
  <tableColumns count="2">
    <tableColumn id="1" xr3:uid="{379F2D14-C62F-4F7D-8BA4-092833A940B2}" name="Estado"/>
    <tableColumn id="2" xr3:uid="{2F09FBD9-E785-470B-B148-30B2EC3FE009}" name="Cantidad" dataDxfId="0">
      <calculatedColumnFormula>COUNTIF(RegistroIncidencias[[#All],[Estado]],EstadoIncidencias[[#This Row],[Estado]])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F3B1-7A7E-4625-A7C2-1B12660AB1DF}">
  <sheetPr>
    <tabColor rgb="FF00587C"/>
  </sheetPr>
  <dimension ref="A1:I7"/>
  <sheetViews>
    <sheetView showGridLines="0" tabSelected="1" zoomScale="120" zoomScaleNormal="120" workbookViewId="0">
      <pane ySplit="1" topLeftCell="A2" activePane="bottomLeft" state="frozen"/>
      <selection pane="bottomLeft" activeCell="D55" sqref="D55"/>
    </sheetView>
  </sheetViews>
  <sheetFormatPr baseColWidth="10" defaultRowHeight="14.4" x14ac:dyDescent="0.3"/>
  <cols>
    <col min="1" max="1" width="18.5546875" style="10" customWidth="1"/>
    <col min="2" max="2" width="17.77734375" customWidth="1"/>
    <col min="3" max="3" width="19.21875" customWidth="1"/>
    <col min="4" max="4" width="26.5546875" bestFit="1" customWidth="1"/>
    <col min="5" max="5" width="31" customWidth="1"/>
    <col min="6" max="6" width="13.88671875" customWidth="1"/>
    <col min="7" max="7" width="16" customWidth="1"/>
    <col min="8" max="8" width="12.33203125" customWidth="1"/>
    <col min="9" max="9" width="46.5546875" customWidth="1"/>
  </cols>
  <sheetData>
    <row r="1" spans="1:9" s="2" customFormat="1" ht="35.4" customHeight="1" x14ac:dyDescent="0.3">
      <c r="A1" s="7" t="s">
        <v>27</v>
      </c>
      <c r="B1" s="7" t="s">
        <v>6</v>
      </c>
      <c r="C1" s="11" t="s">
        <v>15</v>
      </c>
      <c r="D1" s="7" t="s">
        <v>0</v>
      </c>
      <c r="E1" s="7" t="s">
        <v>16</v>
      </c>
      <c r="F1" s="7" t="s">
        <v>17</v>
      </c>
      <c r="G1" s="7" t="s">
        <v>14</v>
      </c>
      <c r="H1" s="7" t="s">
        <v>4</v>
      </c>
      <c r="I1" s="7" t="s">
        <v>18</v>
      </c>
    </row>
    <row r="2" spans="1:9" x14ac:dyDescent="0.3">
      <c r="A2" s="8">
        <v>46041</v>
      </c>
      <c r="B2" s="6" t="s">
        <v>7</v>
      </c>
      <c r="C2" s="9" t="str">
        <f>YEAR(RegistroIncidencias[[#This Row],[Fecha Incidencia]])&amp;MONTH(RegistroIncidencias[[#This Row],[Fecha Incidencia]])&amp;DAY(RegistroIncidencias[[#This Row],[Fecha Incidencia]])&amp;RegistroIncidencias[[#This Row],[ID Equipo]]</f>
        <v>2026119GAD-003</v>
      </c>
      <c r="D2" s="6" t="s">
        <v>3</v>
      </c>
      <c r="E2" s="6" t="s">
        <v>28</v>
      </c>
      <c r="F2" s="6" t="s">
        <v>22</v>
      </c>
      <c r="G2" s="6" t="s">
        <v>24</v>
      </c>
      <c r="H2" s="6" t="s">
        <v>19</v>
      </c>
      <c r="I2" s="6"/>
    </row>
    <row r="3" spans="1:9" x14ac:dyDescent="0.3">
      <c r="A3" s="8">
        <v>46128</v>
      </c>
      <c r="B3" s="6" t="s">
        <v>8</v>
      </c>
      <c r="C3" s="9" t="str">
        <f>YEAR(RegistroIncidencias[[#This Row],[Fecha Incidencia]])&amp;MONTH(RegistroIncidencias[[#This Row],[Fecha Incidencia]])&amp;DAY(RegistroIncidencias[[#This Row],[Fecha Incidencia]])&amp;RegistroIncidencias[[#This Row],[ID Equipo]]</f>
        <v>2026416GAD-004</v>
      </c>
      <c r="D3" s="6" t="s">
        <v>3</v>
      </c>
      <c r="E3" s="6" t="s">
        <v>29</v>
      </c>
      <c r="F3" s="6" t="s">
        <v>23</v>
      </c>
      <c r="G3" s="6" t="s">
        <v>24</v>
      </c>
      <c r="H3" s="6" t="s">
        <v>21</v>
      </c>
      <c r="I3" s="6"/>
    </row>
    <row r="4" spans="1:9" x14ac:dyDescent="0.3">
      <c r="A4" s="8">
        <v>45831</v>
      </c>
      <c r="B4" s="6" t="s">
        <v>9</v>
      </c>
      <c r="C4" s="9" t="str">
        <f>YEAR(RegistroIncidencias[[#This Row],[Fecha Incidencia]])&amp;MONTH(RegistroIncidencias[[#This Row],[Fecha Incidencia]])&amp;DAY(RegistroIncidencias[[#This Row],[Fecha Incidencia]])&amp;RegistroIncidencias[[#This Row],[ID Equipo]]</f>
        <v>2025623GAD-007</v>
      </c>
      <c r="D4" s="6" t="s">
        <v>3</v>
      </c>
      <c r="E4" s="6" t="s">
        <v>30</v>
      </c>
      <c r="F4" s="6" t="s">
        <v>23</v>
      </c>
      <c r="G4" s="6" t="s">
        <v>25</v>
      </c>
      <c r="H4" s="6" t="s">
        <v>20</v>
      </c>
      <c r="I4" s="6" t="s">
        <v>26</v>
      </c>
    </row>
    <row r="5" spans="1:9" x14ac:dyDescent="0.3">
      <c r="A5" s="8">
        <v>46084</v>
      </c>
      <c r="B5" s="6" t="s">
        <v>10</v>
      </c>
      <c r="C5" s="9" t="str">
        <f>YEAR(RegistroIncidencias[[#This Row],[Fecha Incidencia]])&amp;MONTH(RegistroIncidencias[[#This Row],[Fecha Incidencia]])&amp;DAY(RegistroIncidencias[[#This Row],[Fecha Incidencia]])&amp;RegistroIncidencias[[#This Row],[ID Equipo]]</f>
        <v>202633GAD-008</v>
      </c>
      <c r="D5" s="6" t="s">
        <v>3</v>
      </c>
      <c r="E5" s="6" t="s">
        <v>31</v>
      </c>
      <c r="F5" s="6" t="s">
        <v>23</v>
      </c>
      <c r="G5" s="6" t="s">
        <v>25</v>
      </c>
      <c r="H5" s="6" t="s">
        <v>21</v>
      </c>
      <c r="I5" s="6"/>
    </row>
    <row r="6" spans="1:9" x14ac:dyDescent="0.3">
      <c r="A6" s="8">
        <v>45992</v>
      </c>
      <c r="B6" s="6" t="s">
        <v>11</v>
      </c>
      <c r="C6" s="9" t="str">
        <f>YEAR(RegistroIncidencias[[#This Row],[Fecha Incidencia]])&amp;MONTH(RegistroIncidencias[[#This Row],[Fecha Incidencia]])&amp;DAY(RegistroIncidencias[[#This Row],[Fecha Incidencia]])&amp;RegistroIncidencias[[#This Row],[ID Equipo]]</f>
        <v>2025121GAD-013</v>
      </c>
      <c r="D6" s="6" t="s">
        <v>1</v>
      </c>
      <c r="E6" s="6" t="s">
        <v>32</v>
      </c>
      <c r="F6" s="6" t="s">
        <v>5</v>
      </c>
      <c r="G6" s="6" t="s">
        <v>24</v>
      </c>
      <c r="H6" s="6" t="s">
        <v>21</v>
      </c>
      <c r="I6" s="6"/>
    </row>
    <row r="7" spans="1:9" x14ac:dyDescent="0.3">
      <c r="A7" s="8">
        <v>45937</v>
      </c>
      <c r="B7" s="6" t="s">
        <v>12</v>
      </c>
      <c r="C7" s="9" t="str">
        <f>YEAR(RegistroIncidencias[[#This Row],[Fecha Incidencia]])&amp;MONTH(RegistroIncidencias[[#This Row],[Fecha Incidencia]])&amp;DAY(RegistroIncidencias[[#This Row],[Fecha Incidencia]])&amp;RegistroIncidencias[[#This Row],[ID Equipo]]</f>
        <v>2025107GAD-016</v>
      </c>
      <c r="D7" s="6" t="s">
        <v>2</v>
      </c>
      <c r="E7" s="6" t="s">
        <v>30</v>
      </c>
      <c r="F7" s="6" t="s">
        <v>23</v>
      </c>
      <c r="G7" s="6" t="s">
        <v>25</v>
      </c>
      <c r="H7" s="6" t="s">
        <v>20</v>
      </c>
      <c r="I7" s="6" t="s">
        <v>26</v>
      </c>
    </row>
  </sheetData>
  <phoneticPr fontId="2" type="noConversion"/>
  <conditionalFormatting sqref="F2:F7">
    <cfRule type="expression" dxfId="10" priority="7">
      <formula>H2="Cerrado"</formula>
    </cfRule>
    <cfRule type="containsText" dxfId="9" priority="9" operator="containsText" text="Baja">
      <formula>NOT(ISERROR(SEARCH("Baja",F2)))</formula>
    </cfRule>
    <cfRule type="containsText" dxfId="8" priority="10" operator="containsText" text="Media">
      <formula>NOT(ISERROR(SEARCH("Media",F2)))</formula>
    </cfRule>
    <cfRule type="containsText" dxfId="7" priority="11" operator="containsText" text="Alta">
      <formula>NOT(ISERROR(SEARCH("Alta",F2)))</formula>
    </cfRule>
  </conditionalFormatting>
  <conditionalFormatting sqref="C3:C7 B2:B7">
    <cfRule type="expression" dxfId="6" priority="15">
      <formula>H2="Cerrado"</formula>
    </cfRule>
    <cfRule type="expression" dxfId="5" priority="16">
      <formula>F2="Baja"</formula>
    </cfRule>
    <cfRule type="expression" dxfId="4" priority="17">
      <formula>F2="Alta"</formula>
    </cfRule>
    <cfRule type="expression" dxfId="3" priority="18">
      <formula>F2="Media"</formula>
    </cfRule>
  </conditionalFormatting>
  <conditionalFormatting sqref="B4:C4">
    <cfRule type="expression" dxfId="2" priority="20">
      <formula>J2="Cerrado"</formula>
    </cfRule>
  </conditionalFormatting>
  <dataValidations xWindow="1252" yWindow="398" count="4">
    <dataValidation type="list" allowBlank="1" showInputMessage="1" showErrorMessage="1" errorTitle="Error" error="Debes seleccionar estado" promptTitle="Debes seleccionar estado" prompt="Debes seleccionar estado" sqref="H2:H7" xr:uid="{C35225B1-FA9C-4D53-AD72-3F131C4043F1}">
      <formula1>"Pendiente,Cerrado,En Proceso"</formula1>
    </dataValidation>
    <dataValidation type="list" allowBlank="1" showInputMessage="1" showErrorMessage="1" errorTitle="Error" error="Debes seleccionar técnico" promptTitle="Debes seleccionar técnico" prompt="Debes seleccionar técnico" sqref="G2:G7" xr:uid="{5ADC5FDA-C731-4478-AFE4-9AEF4081C024}">
      <formula1>"Jorge Emperador,Rocío Ro"</formula1>
    </dataValidation>
    <dataValidation type="date" operator="lessThanOrEqual" allowBlank="1" showInputMessage="1" showErrorMessage="1" errorTitle="Error" error="Debes registrar una fecha menor o igual que hoy" prompt="Debes registrar fecha incorporando /" sqref="A2:A7" xr:uid="{FC018D85-E94F-4283-A60B-F5767C0895A9}">
      <formula1>TODAY()</formula1>
    </dataValidation>
    <dataValidation type="list" allowBlank="1" showInputMessage="1" showErrorMessage="1" errorTitle="Error" error="Debes seleccionar prioridad" promptTitle="Debes seleccionar prioridad" sqref="F2:F7" xr:uid="{0A787A08-8F16-4D15-A87C-A34D0FAFCCAC}">
      <formula1>"Alta,Media,Baja"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6A2C-E6A7-4603-A506-9662F096275C}">
  <sheetPr>
    <tabColor theme="0" tint="-0.499984740745262"/>
  </sheetPr>
  <dimension ref="A2:E25"/>
  <sheetViews>
    <sheetView showGridLines="0" workbookViewId="0">
      <selection activeCell="J59" sqref="J59"/>
    </sheetView>
  </sheetViews>
  <sheetFormatPr baseColWidth="10" defaultRowHeight="14.4" outlineLevelCol="1" x14ac:dyDescent="0.3"/>
  <cols>
    <col min="1" max="1" width="11.5546875" outlineLevel="1"/>
    <col min="2" max="2" width="16.77734375" bestFit="1" customWidth="1" outlineLevel="1"/>
    <col min="3" max="3" width="10.88671875" customWidth="1" outlineLevel="1"/>
    <col min="4" max="4" width="8.44140625" bestFit="1" customWidth="1" outlineLevel="1"/>
    <col min="5" max="5" width="8.44140625" customWidth="1" outlineLevel="1"/>
    <col min="6" max="16" width="8.44140625" bestFit="1" customWidth="1"/>
    <col min="17" max="17" width="12.21875" bestFit="1" customWidth="1"/>
  </cols>
  <sheetData>
    <row r="2" spans="2:3" x14ac:dyDescent="0.3">
      <c r="B2" s="1" t="s">
        <v>17</v>
      </c>
      <c r="C2" s="1" t="s">
        <v>13</v>
      </c>
    </row>
    <row r="3" spans="2:3" x14ac:dyDescent="0.3">
      <c r="B3" s="3" t="s">
        <v>23</v>
      </c>
      <c r="C3" s="3">
        <f>COUNTIF(RegistroIncidencias[[#All],[Prioridad]],PrioridadIncidencia[[#This Row],[Prioridad]])</f>
        <v>4</v>
      </c>
    </row>
    <row r="4" spans="2:3" x14ac:dyDescent="0.3">
      <c r="B4" s="3" t="s">
        <v>22</v>
      </c>
      <c r="C4" s="3">
        <f>COUNTIF(RegistroIncidencias[[#All],[Prioridad]],PrioridadIncidencia[[#This Row],[Prioridad]])</f>
        <v>1</v>
      </c>
    </row>
    <row r="5" spans="2:3" x14ac:dyDescent="0.3">
      <c r="B5" s="4" t="s">
        <v>5</v>
      </c>
      <c r="C5" s="4">
        <f>COUNTIF(RegistroIncidencias[[#All],[Prioridad]],PrioridadIncidencia[[#This Row],[Prioridad]])</f>
        <v>1</v>
      </c>
    </row>
    <row r="22" spans="2:3" x14ac:dyDescent="0.3">
      <c r="B22" s="1" t="s">
        <v>4</v>
      </c>
      <c r="C22" s="1" t="s">
        <v>13</v>
      </c>
    </row>
    <row r="23" spans="2:3" x14ac:dyDescent="0.3">
      <c r="B23" t="s">
        <v>19</v>
      </c>
      <c r="C23" s="5">
        <f>COUNTIF(RegistroIncidencias[[#All],[Estado]],EstadoIncidencias[[#This Row],[Estado]])</f>
        <v>1</v>
      </c>
    </row>
    <row r="24" spans="2:3" x14ac:dyDescent="0.3">
      <c r="B24" t="s">
        <v>21</v>
      </c>
      <c r="C24" s="5">
        <f>COUNTIF(RegistroIncidencias[[#All],[Estado]],EstadoIncidencias[[#This Row],[Estado]])</f>
        <v>3</v>
      </c>
    </row>
    <row r="25" spans="2:3" x14ac:dyDescent="0.3">
      <c r="B25" t="s">
        <v>20</v>
      </c>
      <c r="C25" s="5">
        <f>COUNTIF(RegistroIncidencias[[#All],[Estado]],EstadoIncidencias[[#This Row],[Estado]])</f>
        <v>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71C5B5-6FE7-4BE5-8DDB-8C95E827FC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RegistroIncidencias</vt:lpstr>
      <vt:lpstr>TablasResumen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rey</dc:creator>
  <cp:lastModifiedBy>juan rey</cp:lastModifiedBy>
  <dcterms:created xsi:type="dcterms:W3CDTF">2026-05-01T13:21:31Z</dcterms:created>
  <dcterms:modified xsi:type="dcterms:W3CDTF">2026-05-01T16:23:34Z</dcterms:modified>
</cp:coreProperties>
</file>